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sop\Desktop\excel project\"/>
    </mc:Choice>
  </mc:AlternateContent>
  <xr:revisionPtr revIDLastSave="0" documentId="13_ncr:1_{C88AAA94-68BC-4B91-A6D7-B1C733BC23E2}" xr6:coauthVersionLast="47" xr6:coauthVersionMax="47" xr10:uidLastSave="{00000000-0000-0000-0000-000000000000}"/>
  <bookViews>
    <workbookView xWindow="-108" yWindow="-108" windowWidth="23256" windowHeight="12456" activeTab="3" xr2:uid="{60091375-DC67-49B1-BFFA-BC589AE76D06}"/>
  </bookViews>
  <sheets>
    <sheet name="Raw Data" sheetId="1" r:id="rId1"/>
    <sheet name="Data Cleaning" sheetId="2" r:id="rId2"/>
    <sheet name="Analysis" sheetId="3" r:id="rId3"/>
    <sheet name="Dashboard" sheetId="6" r:id="rId4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5" i="6" l="1"/>
  <c r="A5" i="6"/>
  <c r="E5" i="6"/>
  <c r="I5" i="6"/>
  <c r="C32" i="3"/>
  <c r="D32" i="3" s="1"/>
  <c r="C31" i="3"/>
  <c r="D31" i="3" s="1"/>
  <c r="C30" i="3"/>
  <c r="D30" i="3" s="1"/>
  <c r="C29" i="3"/>
  <c r="D29" i="3" s="1"/>
  <c r="C28" i="3"/>
  <c r="D28" i="3" s="1"/>
  <c r="B32" i="3"/>
  <c r="B31" i="3"/>
  <c r="B30" i="3"/>
  <c r="B29" i="3"/>
  <c r="B28" i="3"/>
  <c r="C23" i="3" a="1"/>
  <c r="C23" i="3" s="1"/>
  <c r="C22" i="3" a="1"/>
  <c r="C22" i="3" s="1"/>
  <c r="B23" i="3" a="1"/>
  <c r="B23" i="3" s="1"/>
  <c r="B22" i="3" a="1"/>
  <c r="B22" i="3" s="1"/>
  <c r="B21" i="3" a="1"/>
  <c r="B21" i="3" s="1"/>
  <c r="C21" i="3" a="1"/>
  <c r="C21" i="3" s="1"/>
  <c r="C20" i="3"/>
  <c r="B20" i="3"/>
  <c r="C19" i="3"/>
  <c r="B19" i="3"/>
  <c r="B14" i="3"/>
  <c r="B13" i="3"/>
  <c r="B7" i="3"/>
  <c r="B12" i="3"/>
  <c r="B11" i="3"/>
  <c r="B10" i="3"/>
  <c r="B9" i="3"/>
  <c r="B8" i="3"/>
  <c r="B14" i="2" a="1"/>
  <c r="B14" i="2" s="1"/>
  <c r="B13" i="2"/>
  <c r="B7" i="2" a="1"/>
  <c r="B7" i="2" s="1"/>
  <c r="C7" i="2" s="1"/>
  <c r="B6" i="2"/>
  <c r="C6" i="2" s="1"/>
  <c r="B5" i="2"/>
  <c r="C5" i="2" s="1"/>
  <c r="B4" i="2"/>
  <c r="C4" i="2" s="1"/>
  <c r="B3" i="2"/>
  <c r="C3" i="2" s="1"/>
  <c r="B28" i="2"/>
  <c r="B27" i="2"/>
  <c r="B26" i="2"/>
  <c r="C26" i="2" s="1"/>
  <c r="B25" i="2"/>
  <c r="B24" i="2"/>
  <c r="B23" i="2"/>
  <c r="B21" i="2"/>
  <c r="C21" i="2" s="1"/>
  <c r="B22" i="2"/>
  <c r="B20" i="2"/>
  <c r="B19" i="2"/>
  <c r="D20" i="3" l="1"/>
  <c r="D19" i="3"/>
  <c r="D23" i="3"/>
  <c r="E23" i="3"/>
  <c r="D22" i="3"/>
  <c r="E21" i="3"/>
  <c r="E22" i="3"/>
  <c r="D21" i="3"/>
  <c r="E20" i="3"/>
  <c r="E19" i="3"/>
  <c r="C14" i="2"/>
  <c r="C13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<sst xmlns="http://schemas.openxmlformats.org/spreadsheetml/2006/main" count="125" uniqueCount="69">
  <si>
    <t>ID</t>
  </si>
  <si>
    <t>Experience_Years</t>
  </si>
  <si>
    <t>Age</t>
  </si>
  <si>
    <t>Gender</t>
  </si>
  <si>
    <t>Salary</t>
  </si>
  <si>
    <t>Female</t>
  </si>
  <si>
    <t>Male</t>
  </si>
  <si>
    <t>Data Cleaning Checklist &amp; Validation Report</t>
  </si>
  <si>
    <t>Column</t>
  </si>
  <si>
    <t>Blank Count</t>
  </si>
  <si>
    <t>Status</t>
  </si>
  <si>
    <t>Check</t>
  </si>
  <si>
    <t>Result</t>
  </si>
  <si>
    <t>Total Employees</t>
  </si>
  <si>
    <t>Unique IDs</t>
  </si>
  <si>
    <t>Value</t>
  </si>
  <si>
    <t>Salary — Min Value</t>
  </si>
  <si>
    <t>✅ Valid</t>
  </si>
  <si>
    <t>Salary — Max Value</t>
  </si>
  <si>
    <t>Salary — Negative Count</t>
  </si>
  <si>
    <t>Age — Min Value</t>
  </si>
  <si>
    <t>Age — Max Value</t>
  </si>
  <si>
    <t>Gender — Male Count</t>
  </si>
  <si>
    <t>Gender — Female Count</t>
  </si>
  <si>
    <t>Gender — Other Values</t>
  </si>
  <si>
    <t>Experience — Min Yrs</t>
  </si>
  <si>
    <t>Experience — Max Yrs</t>
  </si>
  <si>
    <t>Data Validation &amp; Range Checks</t>
  </si>
  <si>
    <t>Duplicate Check</t>
  </si>
  <si>
    <t>Employee Salary Dataset — Raw Data</t>
  </si>
  <si>
    <t>Data Analysis</t>
  </si>
  <si>
    <t>OVERALL SALARY STATISTICS</t>
  </si>
  <si>
    <t>Metric</t>
  </si>
  <si>
    <t>Interpretation</t>
  </si>
  <si>
    <t>Total records in dataset</t>
  </si>
  <si>
    <t>Average Salary</t>
  </si>
  <si>
    <t>Mean — skewed by outliers</t>
  </si>
  <si>
    <t>Median Salary</t>
  </si>
  <si>
    <t>Better measure of center</t>
  </si>
  <si>
    <t>Highest Salary</t>
  </si>
  <si>
    <t>Extreme outlier detected</t>
  </si>
  <si>
    <t>Lowest Salary</t>
  </si>
  <si>
    <t>Entry-level floor</t>
  </si>
  <si>
    <t>Std Deviation</t>
  </si>
  <si>
    <t>High = wide spread</t>
  </si>
  <si>
    <t>Salary–Exp Correl.</t>
  </si>
  <si>
    <t>1.0=perfect, 0=none</t>
  </si>
  <si>
    <t>Salary–Age Correl.</t>
  </si>
  <si>
    <t>Compare vs. Experience</t>
  </si>
  <si>
    <t>GENDER-BASED SALARY ANALYSIS</t>
  </si>
  <si>
    <t>Difference</t>
  </si>
  <si>
    <t>Gap %</t>
  </si>
  <si>
    <t>Employee Count</t>
  </si>
  <si>
    <t>Max Salary</t>
  </si>
  <si>
    <t>Min Salary</t>
  </si>
  <si>
    <t>Avg Salary</t>
  </si>
  <si>
    <t>SALARY BY AGE GROUP</t>
  </si>
  <si>
    <t>Age Group</t>
  </si>
  <si>
    <t>% of Workforce</t>
  </si>
  <si>
    <t>Under 25</t>
  </si>
  <si>
    <t>25–35</t>
  </si>
  <si>
    <t>36–45</t>
  </si>
  <si>
    <t>46–55</t>
  </si>
  <si>
    <t>56+</t>
  </si>
  <si>
    <t>👥  Employee Salary Dashboard</t>
  </si>
  <si>
    <t>👤 Total Employees</t>
  </si>
  <si>
    <t>💰 Average Salary</t>
  </si>
  <si>
    <t>🏆 Highest Salary</t>
  </si>
  <si>
    <t>📅 Avg Experience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</si>
</sst>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\$#,##0"/>
    <numFmt numFmtId="165" formatCode="0.0%"/>
  </numFmts>
  <fonts count="3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rgb="FFFFFFFF"/>
      <name val="Arial"/>
      <family val="2"/>
    </font>
    <font>
      <b/>
      <sz val="12"/>
      <color rgb="FFFFFFFF"/>
      <name val="Arial"/>
      <family val="2"/>
    </font>
    <font>
      <b/>
      <sz val="11"/>
      <color rgb="FFFFFFFF"/>
      <name val="Arial"/>
      <family val="2"/>
    </font>
    <font>
      <sz val="10"/>
      <color rgb="FF000000"/>
      <name val="Arial"/>
      <family val="2"/>
    </font>
    <font>
      <b/>
      <i/>
      <sz val="14"/>
      <color theme="0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16"/>
      <color theme="0"/>
      <name val="Calibri"/>
      <family val="2"/>
      <scheme val="minor"/>
    </font>
    <font>
      <b/>
      <i/>
      <sz val="36"/>
      <color theme="0"/>
      <name val="Calibri"/>
      <family val="2"/>
      <scheme val="minor"/>
    </font>
    <font>
      <b/>
      <sz val="12"/>
      <color rgb="FFFFFFFF"/>
      <name val="Arial"/>
      <family val="2"/>
    </font>
    <font>
      <b/>
      <sz val="11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22"/>
      <color rgb="FF00C9A7"/>
      <name val="Calibri"/>
      <family val="2"/>
    </font>
    <font>
      <b/>
      <sz val="9"/>
      <color rgb="FF00C9A7"/>
      <name val="Calibri"/>
      <family val="2"/>
    </font>
    <font>
      <b/>
      <sz val="9"/>
      <color rgb="FFF7B731"/>
      <name val="Calibri"/>
      <family val="2"/>
    </font>
    <font>
      <b/>
      <sz val="9"/>
      <color rgb="FF45AAF2"/>
      <name val="Calibri"/>
      <family val="2"/>
    </font>
    <font>
      <b/>
      <sz val="9"/>
      <color rgb="FFFC5C65"/>
      <name val="Calibri"/>
      <family val="2"/>
    </font>
    <font>
      <b/>
      <sz val="16"/>
      <color rgb="FFFFFFFF"/>
      <name val="Calibri"/>
      <family val="2"/>
    </font>
    <font>
      <b/>
      <sz val="16"/>
      <color theme="0"/>
      <name val="Calibri"/>
      <family val="2"/>
      <scheme val="minor"/>
    </font>
  </fonts>
  <fills count="4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FFFFFF"/>
        <bgColor rgb="FFF9F9F9"/>
      </patternFill>
    </fill>
    <fill>
      <patternFill patternType="solid">
        <fgColor rgb="FFEBF3FA"/>
        <bgColor rgb="FFF9F9F9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55A11"/>
        <bgColor rgb="FF993300"/>
      </patternFill>
    </fill>
    <fill>
      <patternFill patternType="solid">
        <fgColor rgb="FF7030A0"/>
        <bgColor rgb="FF993366"/>
      </patternFill>
    </fill>
    <fill>
      <patternFill patternType="solid">
        <fgColor rgb="FF243447"/>
      </patternFill>
    </fill>
    <fill>
      <patternFill patternType="solid">
        <fgColor rgb="FF00C9A7"/>
      </patternFill>
    </fill>
    <fill>
      <patternFill patternType="solid">
        <fgColor rgb="FFF7B731"/>
      </patternFill>
    </fill>
    <fill>
      <patternFill patternType="solid">
        <fgColor rgb="FF45AAF2"/>
      </patternFill>
    </fill>
    <fill>
      <patternFill patternType="solid">
        <fgColor rgb="FFFC5C65"/>
      </patternFill>
    </fill>
    <fill>
      <patternFill patternType="solid">
        <fgColor theme="3" tint="-0.49998474074526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thin">
        <color rgb="FF2E75B6"/>
      </bottom>
      <diagonal/>
    </border>
    <border>
      <left style="thin">
        <color rgb="FF2E75B6"/>
      </left>
      <right/>
      <top/>
      <bottom/>
      <diagonal/>
    </border>
    <border>
      <left style="thin">
        <color rgb="FFCCCCCC"/>
      </left>
      <right/>
      <top/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</cellStyleXfs>
  <cellXfs count="60">
    <xf numFmtId="0" fontId="0" fillId="0" borderId="0" xfId="0"/>
    <xf numFmtId="0" fontId="20" fillId="33" borderId="10" xfId="0" applyFont="1" applyFill="1" applyBorder="1" applyAlignment="1">
      <alignment horizontal="center" vertical="center"/>
    </xf>
    <xf numFmtId="0" fontId="21" fillId="35" borderId="11" xfId="0" applyFont="1" applyFill="1" applyBorder="1" applyAlignment="1">
      <alignment horizontal="left" vertical="center"/>
    </xf>
    <xf numFmtId="0" fontId="21" fillId="35" borderId="11" xfId="0" applyFont="1" applyFill="1" applyBorder="1" applyAlignment="1">
      <alignment horizontal="center" vertical="center"/>
    </xf>
    <xf numFmtId="0" fontId="21" fillId="36" borderId="11" xfId="0" applyFont="1" applyFill="1" applyBorder="1" applyAlignment="1">
      <alignment horizontal="left" vertical="center"/>
    </xf>
    <xf numFmtId="0" fontId="21" fillId="36" borderId="11" xfId="0" applyFont="1" applyFill="1" applyBorder="1" applyAlignment="1">
      <alignment horizontal="center" vertical="center"/>
    </xf>
    <xf numFmtId="164" fontId="21" fillId="36" borderId="11" xfId="0" applyNumberFormat="1" applyFont="1" applyFill="1" applyBorder="1" applyAlignment="1">
      <alignment horizontal="center" vertical="center"/>
    </xf>
    <xf numFmtId="164" fontId="21" fillId="35" borderId="11" xfId="0" applyNumberFormat="1" applyFont="1" applyFill="1" applyBorder="1" applyAlignment="1">
      <alignment horizontal="center" vertical="center"/>
    </xf>
    <xf numFmtId="1" fontId="21" fillId="36" borderId="11" xfId="0" applyNumberFormat="1" applyFont="1" applyFill="1" applyBorder="1" applyAlignment="1">
      <alignment horizontal="center" vertical="center"/>
    </xf>
    <xf numFmtId="1" fontId="21" fillId="35" borderId="11" xfId="0" applyNumberFormat="1" applyFont="1" applyFill="1" applyBorder="1" applyAlignment="1">
      <alignment horizontal="center" vertical="center"/>
    </xf>
    <xf numFmtId="0" fontId="21" fillId="35" borderId="0" xfId="0" applyFont="1" applyFill="1" applyBorder="1" applyAlignment="1">
      <alignment horizontal="left" vertical="center"/>
    </xf>
    <xf numFmtId="0" fontId="21" fillId="35" borderId="0" xfId="0" applyFont="1" applyFill="1" applyBorder="1" applyAlignment="1">
      <alignment horizontal="center" vertical="center"/>
    </xf>
    <xf numFmtId="0" fontId="22" fillId="37" borderId="0" xfId="0" applyFont="1" applyFill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7" fillId="33" borderId="10" xfId="0" applyFont="1" applyFill="1" applyBorder="1" applyAlignment="1">
      <alignment horizontal="center" vertical="center"/>
    </xf>
    <xf numFmtId="0" fontId="28" fillId="35" borderId="11" xfId="0" applyFont="1" applyFill="1" applyBorder="1" applyAlignment="1">
      <alignment horizontal="left" vertical="center"/>
    </xf>
    <xf numFmtId="1" fontId="29" fillId="35" borderId="11" xfId="0" applyNumberFormat="1" applyFont="1" applyFill="1" applyBorder="1" applyAlignment="1">
      <alignment horizontal="center" vertical="center"/>
    </xf>
    <xf numFmtId="0" fontId="28" fillId="36" borderId="11" xfId="0" applyFont="1" applyFill="1" applyBorder="1" applyAlignment="1">
      <alignment horizontal="left" vertical="center"/>
    </xf>
    <xf numFmtId="164" fontId="29" fillId="36" borderId="11" xfId="0" applyNumberFormat="1" applyFont="1" applyFill="1" applyBorder="1" applyAlignment="1">
      <alignment horizontal="center" vertical="center"/>
    </xf>
    <xf numFmtId="164" fontId="29" fillId="35" borderId="11" xfId="0" applyNumberFormat="1" applyFont="1" applyFill="1" applyBorder="1" applyAlignment="1">
      <alignment horizontal="center" vertical="center"/>
    </xf>
    <xf numFmtId="2" fontId="29" fillId="35" borderId="11" xfId="0" applyNumberFormat="1" applyFont="1" applyFill="1" applyBorder="1" applyAlignment="1">
      <alignment horizontal="center" vertical="center"/>
    </xf>
    <xf numFmtId="2" fontId="29" fillId="36" borderId="11" xfId="0" applyNumberFormat="1" applyFont="1" applyFill="1" applyBorder="1" applyAlignment="1">
      <alignment horizontal="center" vertical="center"/>
    </xf>
    <xf numFmtId="165" fontId="29" fillId="35" borderId="11" xfId="0" applyNumberFormat="1" applyFont="1" applyFill="1" applyBorder="1" applyAlignment="1">
      <alignment horizontal="center" vertical="center"/>
    </xf>
    <xf numFmtId="165" fontId="29" fillId="36" borderId="11" xfId="0" applyNumberFormat="1" applyFont="1" applyFill="1" applyBorder="1" applyAlignment="1">
      <alignment horizontal="center" vertical="center"/>
    </xf>
    <xf numFmtId="0" fontId="29" fillId="35" borderId="11" xfId="0" applyFont="1" applyFill="1" applyBorder="1" applyAlignment="1">
      <alignment horizontal="center" vertical="center"/>
    </xf>
    <xf numFmtId="0" fontId="29" fillId="36" borderId="11" xfId="0" applyFont="1" applyFill="1" applyBorder="1" applyAlignment="1">
      <alignment horizontal="center" vertical="center"/>
    </xf>
    <xf numFmtId="44" fontId="0" fillId="0" borderId="0" xfId="42" applyFont="1"/>
    <xf numFmtId="0" fontId="0" fillId="47" borderId="0" xfId="0" applyFill="1"/>
    <xf numFmtId="0" fontId="24" fillId="38" borderId="0" xfId="0" applyFont="1" applyFill="1" applyAlignment="1">
      <alignment horizontal="center" vertical="center"/>
    </xf>
    <xf numFmtId="0" fontId="19" fillId="34" borderId="0" xfId="0" applyFont="1" applyFill="1" applyAlignment="1">
      <alignment horizontal="left" vertical="center"/>
    </xf>
    <xf numFmtId="0" fontId="18" fillId="33" borderId="0" xfId="0" applyFont="1" applyFill="1" applyAlignment="1">
      <alignment horizontal="center" vertical="center"/>
    </xf>
    <xf numFmtId="165" fontId="29" fillId="36" borderId="14" xfId="0" applyNumberFormat="1" applyFont="1" applyFill="1" applyBorder="1" applyAlignment="1">
      <alignment horizontal="center" vertical="center"/>
    </xf>
    <xf numFmtId="165" fontId="29" fillId="36" borderId="0" xfId="0" applyNumberFormat="1" applyFont="1" applyFill="1" applyBorder="1" applyAlignment="1">
      <alignment horizontal="center" vertical="center"/>
    </xf>
    <xf numFmtId="0" fontId="28" fillId="35" borderId="14" xfId="0" applyFont="1" applyFill="1" applyBorder="1" applyAlignment="1">
      <alignment horizontal="center" vertical="center"/>
    </xf>
    <xf numFmtId="0" fontId="28" fillId="35" borderId="0" xfId="0" applyFont="1" applyFill="1" applyBorder="1" applyAlignment="1">
      <alignment horizontal="center" vertical="center"/>
    </xf>
    <xf numFmtId="0" fontId="28" fillId="36" borderId="14" xfId="0" applyFont="1" applyFill="1" applyBorder="1" applyAlignment="1">
      <alignment horizontal="center" vertical="center"/>
    </xf>
    <xf numFmtId="0" fontId="28" fillId="36" borderId="0" xfId="0" applyFont="1" applyFill="1" applyBorder="1" applyAlignment="1">
      <alignment horizontal="center" vertical="center"/>
    </xf>
    <xf numFmtId="0" fontId="26" fillId="40" borderId="12" xfId="0" applyFont="1" applyFill="1" applyBorder="1" applyAlignment="1">
      <alignment horizontal="center" vertical="center"/>
    </xf>
    <xf numFmtId="0" fontId="26" fillId="41" borderId="0" xfId="0" applyFont="1" applyFill="1" applyBorder="1" applyAlignment="1">
      <alignment horizontal="center" vertical="center"/>
    </xf>
    <xf numFmtId="0" fontId="27" fillId="33" borderId="13" xfId="0" applyFont="1" applyFill="1" applyBorder="1" applyAlignment="1">
      <alignment horizontal="center" vertical="center"/>
    </xf>
    <xf numFmtId="0" fontId="27" fillId="33" borderId="0" xfId="0" applyFont="1" applyFill="1" applyBorder="1" applyAlignment="1">
      <alignment horizontal="center" vertical="center"/>
    </xf>
    <xf numFmtId="165" fontId="29" fillId="35" borderId="14" xfId="0" applyNumberFormat="1" applyFont="1" applyFill="1" applyBorder="1" applyAlignment="1">
      <alignment horizontal="center" vertical="center"/>
    </xf>
    <xf numFmtId="165" fontId="29" fillId="35" borderId="0" xfId="0" applyNumberFormat="1" applyFont="1" applyFill="1" applyBorder="1" applyAlignment="1">
      <alignment horizontal="center" vertical="center"/>
    </xf>
    <xf numFmtId="0" fontId="25" fillId="39" borderId="0" xfId="0" applyFont="1" applyFill="1" applyAlignment="1">
      <alignment horizontal="center"/>
    </xf>
    <xf numFmtId="0" fontId="26" fillId="34" borderId="0" xfId="0" applyFont="1" applyFill="1" applyBorder="1" applyAlignment="1">
      <alignment horizontal="center" vertical="center"/>
    </xf>
    <xf numFmtId="0" fontId="30" fillId="42" borderId="0" xfId="0" applyFont="1" applyFill="1" applyAlignment="1">
      <alignment horizontal="left" vertical="center"/>
    </xf>
    <xf numFmtId="0" fontId="31" fillId="42" borderId="0" xfId="0" applyFont="1" applyFill="1" applyAlignment="1">
      <alignment horizontal="center" vertical="center" wrapText="1"/>
    </xf>
    <xf numFmtId="1" fontId="35" fillId="42" borderId="0" xfId="0" applyNumberFormat="1" applyFont="1" applyFill="1" applyAlignment="1">
      <alignment horizontal="center" vertical="center"/>
    </xf>
    <xf numFmtId="0" fontId="0" fillId="43" borderId="0" xfId="0" applyFill="1"/>
    <xf numFmtId="0" fontId="32" fillId="42" borderId="0" xfId="0" applyFont="1" applyFill="1" applyAlignment="1">
      <alignment horizontal="center" vertical="center" wrapText="1"/>
    </xf>
    <xf numFmtId="0" fontId="0" fillId="0" borderId="0" xfId="0"/>
    <xf numFmtId="3" fontId="35" fillId="42" borderId="0" xfId="0" applyNumberFormat="1" applyFont="1" applyFill="1" applyAlignment="1">
      <alignment horizontal="center" vertical="center"/>
    </xf>
    <xf numFmtId="0" fontId="0" fillId="44" borderId="0" xfId="0" applyFill="1"/>
    <xf numFmtId="0" fontId="33" fillId="42" borderId="0" xfId="0" applyFont="1" applyFill="1" applyAlignment="1">
      <alignment horizontal="center" vertical="center" wrapText="1"/>
    </xf>
    <xf numFmtId="44" fontId="35" fillId="42" borderId="0" xfId="42" applyFont="1" applyFill="1" applyAlignment="1">
      <alignment horizontal="center" vertical="center"/>
    </xf>
    <xf numFmtId="44" fontId="0" fillId="0" borderId="0" xfId="42" applyFont="1"/>
    <xf numFmtId="0" fontId="0" fillId="45" borderId="0" xfId="0" applyFill="1"/>
    <xf numFmtId="0" fontId="34" fillId="42" borderId="0" xfId="0" applyFont="1" applyFill="1" applyAlignment="1">
      <alignment horizontal="center" vertical="center" wrapText="1"/>
    </xf>
    <xf numFmtId="0" fontId="36" fillId="47" borderId="0" xfId="0" applyFont="1" applyFill="1" applyAlignment="1">
      <alignment horizontal="center" vertical="center"/>
    </xf>
    <xf numFmtId="0" fontId="0" fillId="46" borderId="0" xfId="0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2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theme="0"/>
        <name val="Calibri"/>
        <family val="2"/>
        <scheme val="minor"/>
      </font>
      <fill>
        <patternFill patternType="solid">
          <fgColor indexed="64"/>
          <bgColor theme="3" tint="-0.249977111117893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Salary Band Distribution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136904761904762"/>
          <c:y val="0.11060606060606062"/>
          <c:w val="0.63206349206349211"/>
          <c:h val="0.80444444444444441"/>
        </c:manualLayout>
      </c:layout>
      <c:pieChart>
        <c:varyColors val="1"/>
        <c:ser>
          <c:idx val="0"/>
          <c:order val="0"/>
          <c:tx>
            <c:v>Employees</c:v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BC1-4EE4-8C13-C9BD8D0F7222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BC1-4EE4-8C13-C9BD8D0F7222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CBC1-4EE4-8C13-C9BD8D0F7222}"/>
              </c:ext>
            </c:extLst>
          </c:dPt>
          <c:dPt>
            <c:idx val="3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CBC1-4EE4-8C13-C9BD8D0F7222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4"/>
              <c:pt idx="0">
                <c:v>&lt; 100K</c:v>
              </c:pt>
              <c:pt idx="1">
                <c:v>100K-500K</c:v>
              </c:pt>
              <c:pt idx="2">
                <c:v>500K-2M</c:v>
              </c:pt>
              <c:pt idx="3">
                <c:v>&gt; 2M</c:v>
              </c:pt>
            </c:strLit>
          </c:cat>
          <c:val>
            <c:numLit>
              <c:formatCode>General</c:formatCode>
              <c:ptCount val="4"/>
              <c:pt idx="0">
                <c:v>15</c:v>
              </c:pt>
              <c:pt idx="1">
                <c:v>5</c:v>
              </c:pt>
              <c:pt idx="2">
                <c:v>6</c:v>
              </c:pt>
              <c:pt idx="3">
                <c:v>9</c:v>
              </c:pt>
            </c:numLit>
          </c:val>
          <c:extLst>
            <c:ext xmlns:c16="http://schemas.microsoft.com/office/drawing/2014/chart" uri="{C3380CC4-5D6E-409C-BE32-E72D297353CC}">
              <c16:uniqueId val="{00000008-CBC1-4EE4-8C13-C9BD8D0F7222}"/>
            </c:ext>
          </c:extLst>
        </c:ser>
        <c:dLbls>
          <c:dLblPos val="ctr"/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Avg Salary by Age Group</a:t>
            </a:r>
          </a:p>
        </c:rich>
      </c:tx>
      <c:layout>
        <c:manualLayout>
          <c:xMode val="edge"/>
          <c:yMode val="edge"/>
          <c:x val="0.25925436507936506"/>
          <c:y val="2.2449494949494948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Avg Salary</c:v>
          </c:tx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D24-48E3-9800-56668642E66D}"/>
              </c:ext>
            </c:extLst>
          </c:dPt>
          <c:dPt>
            <c:idx val="1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D24-48E3-9800-56668642E66D}"/>
              </c:ext>
            </c:extLst>
          </c:dPt>
          <c:dPt>
            <c:idx val="2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D24-48E3-9800-56668642E66D}"/>
              </c:ext>
            </c:extLst>
          </c:dPt>
          <c:dPt>
            <c:idx val="3"/>
            <c:marker>
              <c:symbol val="none"/>
            </c:marker>
            <c:bubble3D val="0"/>
            <c:spPr>
              <a:ln w="34925" cap="rnd">
                <a:solidFill>
                  <a:schemeClr val="accent4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AD24-48E3-9800-56668642E66D}"/>
              </c:ext>
            </c:extLst>
          </c:dPt>
          <c:cat>
            <c:strLit>
              <c:ptCount val="4"/>
              <c:pt idx="0">
                <c:v>&lt;25</c:v>
              </c:pt>
              <c:pt idx="1">
                <c:v>25-35</c:v>
              </c:pt>
              <c:pt idx="2">
                <c:v>35-45</c:v>
              </c:pt>
              <c:pt idx="3">
                <c:v>45+</c:v>
              </c:pt>
            </c:strLit>
          </c:cat>
          <c:val>
            <c:numLit>
              <c:formatCode>General</c:formatCode>
              <c:ptCount val="4"/>
              <c:pt idx="0">
                <c:v>27542</c:v>
              </c:pt>
              <c:pt idx="1">
                <c:v>1233375</c:v>
              </c:pt>
              <c:pt idx="2">
                <c:v>1652912</c:v>
              </c:pt>
              <c:pt idx="3">
                <c:v>5023727</c:v>
              </c:pt>
            </c:numLit>
          </c:val>
          <c:smooth val="1"/>
          <c:extLst>
            <c:ext xmlns:c16="http://schemas.microsoft.com/office/drawing/2014/chart" uri="{C3380CC4-5D6E-409C-BE32-E72D297353CC}">
              <c16:uniqueId val="{00000000-906A-4EF0-BFE0-C65E0ED0C1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Salary by Experience Level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v>Avg Salary</c:v>
          </c:tx>
          <c:invertIfNegative val="1"/>
          <c:dPt>
            <c:idx val="0"/>
            <c:invertIfNegative val="1"/>
            <c:bubble3D val="0"/>
            <c:spPr>
              <a:solidFill>
                <a:schemeClr val="accent1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57F9-479D-9A37-EA9AAEB8462C}"/>
              </c:ext>
            </c:extLst>
          </c:dPt>
          <c:dPt>
            <c:idx val="1"/>
            <c:invertIfNegative val="1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57F9-479D-9A37-EA9AAEB8462C}"/>
              </c:ext>
            </c:extLst>
          </c:dPt>
          <c:dPt>
            <c:idx val="2"/>
            <c:invertIfNegative val="1"/>
            <c:bubble3D val="0"/>
            <c:spPr>
              <a:solidFill>
                <a:schemeClr val="accent3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57F9-479D-9A37-EA9AAEB8462C}"/>
              </c:ext>
            </c:extLst>
          </c:dPt>
          <c:dPt>
            <c:idx val="3"/>
            <c:invertIfNegative val="1"/>
            <c:bubble3D val="0"/>
            <c:spPr>
              <a:solidFill>
                <a:schemeClr val="accent4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57F9-479D-9A37-EA9AAEB8462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4"/>
              <c:pt idx="0">
                <c:v>0-3 yrs</c:v>
              </c:pt>
              <c:pt idx="1">
                <c:v>4-7 yrs</c:v>
              </c:pt>
              <c:pt idx="2">
                <c:v>8-15 yrs</c:v>
              </c:pt>
              <c:pt idx="3">
                <c:v>16+ yrs</c:v>
              </c:pt>
            </c:strLit>
          </c:cat>
          <c:val>
            <c:numLit>
              <c:formatCode>General</c:formatCode>
              <c:ptCount val="4"/>
              <c:pt idx="0">
                <c:v>29236</c:v>
              </c:pt>
              <c:pt idx="1">
                <c:v>1266557</c:v>
              </c:pt>
              <c:pt idx="2">
                <c:v>2364165</c:v>
              </c:pt>
              <c:pt idx="3">
                <c:v>5605857</c:v>
              </c:pt>
            </c:numLit>
          </c:val>
          <c:extLst>
            <c:ext xmlns:c16="http://schemas.microsoft.com/office/drawing/2014/chart" uri="{C3380CC4-5D6E-409C-BE32-E72D297353CC}">
              <c16:uniqueId val="{00000000-2115-48F4-8209-C20E5CFE9000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US"/>
              <a:t>Avg Salary by Gender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Avg Salary</c:v>
          </c:tx>
          <c:invertIfNegative val="1"/>
          <c:dPt>
            <c:idx val="0"/>
            <c:invertIfNegative val="1"/>
            <c:bubble3D val="0"/>
            <c:spPr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32A-448B-B51A-1E3C207DBDA0}"/>
              </c:ext>
            </c:extLst>
          </c:dPt>
          <c:dPt>
            <c:idx val="1"/>
            <c:invertIfNegative val="1"/>
            <c:bubble3D val="0"/>
            <c:spPr>
              <a:gradFill>
                <a:gsLst>
                  <a:gs pos="0">
                    <a:schemeClr val="accent2"/>
                  </a:gs>
                  <a:gs pos="100000">
                    <a:schemeClr val="accent2"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32A-448B-B51A-1E3C207DBDA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Female</c:v>
              </c:pt>
              <c:pt idx="1">
                <c:v>Male</c:v>
              </c:pt>
            </c:strLit>
          </c:cat>
          <c:val>
            <c:numLit>
              <c:formatCode>General</c:formatCode>
              <c:ptCount val="2"/>
              <c:pt idx="0">
                <c:v>2054917</c:v>
              </c:pt>
              <c:pt idx="1">
                <c:v>2063626</c:v>
              </c:pt>
            </c:numLit>
          </c:val>
          <c:extLst>
            <c:ext xmlns:c16="http://schemas.microsoft.com/office/drawing/2014/chart" uri="{C3380CC4-5D6E-409C-BE32-E72D297353CC}">
              <c16:uniqueId val="{00000000-B1F4-4A8A-8F3E-83031A93983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Gender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Avg Salary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crossAx val="10"/>
        <c:crosses val="autoZero"/>
        <c:crossBetween val="between"/>
      </c:valAx>
      <c:spPr>
        <a:solidFill>
          <a:schemeClr val="tx2">
            <a:lumMod val="75000"/>
          </a:schemeClr>
        </a:solidFill>
        <a:ln>
          <a:noFill/>
        </a:ln>
        <a:effectLst/>
      </c:spPr>
    </c:plotArea>
    <c:plotVisOnly val="1"/>
    <c:dispBlanksAs val="gap"/>
    <c:showDLblsOverMax val="1"/>
  </c:chart>
  <c:spPr>
    <a:solidFill>
      <a:schemeClr val="bg2">
        <a:lumMod val="90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Salary by Experience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Average Salary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Lit>
              <c:formatCode>General</c:formatCode>
              <c:ptCount val="15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10</c:v>
              </c:pt>
              <c:pt idx="7">
                <c:v>11</c:v>
              </c:pt>
              <c:pt idx="8">
                <c:v>14</c:v>
              </c:pt>
              <c:pt idx="9">
                <c:v>15</c:v>
              </c:pt>
              <c:pt idx="10">
                <c:v>16</c:v>
              </c:pt>
              <c:pt idx="11">
                <c:v>19</c:v>
              </c:pt>
              <c:pt idx="12">
                <c:v>20</c:v>
              </c:pt>
              <c:pt idx="13">
                <c:v>25</c:v>
              </c:pt>
              <c:pt idx="14">
                <c:v>27</c:v>
              </c:pt>
            </c:numLit>
          </c:cat>
          <c:val>
            <c:numLit>
              <c:formatCode>General</c:formatCode>
              <c:ptCount val="15"/>
              <c:pt idx="0">
                <c:v>17250</c:v>
              </c:pt>
              <c:pt idx="1">
                <c:v>12520</c:v>
              </c:pt>
              <c:pt idx="2">
                <c:v>95000</c:v>
              </c:pt>
              <c:pt idx="3">
                <c:v>92725</c:v>
              </c:pt>
              <c:pt idx="4">
                <c:v>3547500</c:v>
              </c:pt>
              <c:pt idx="5">
                <c:v>1400000</c:v>
              </c:pt>
              <c:pt idx="6">
                <c:v>350375</c:v>
              </c:pt>
              <c:pt idx="7">
                <c:v>220100</c:v>
              </c:pt>
              <c:pt idx="8">
                <c:v>6000050</c:v>
              </c:pt>
              <c:pt idx="9">
                <c:v>4005000</c:v>
              </c:pt>
              <c:pt idx="10">
                <c:v>7600000</c:v>
              </c:pt>
              <c:pt idx="11">
                <c:v>5033333.3333333302</c:v>
              </c:pt>
              <c:pt idx="12">
                <c:v>1540000</c:v>
              </c:pt>
              <c:pt idx="13">
                <c:v>5001000</c:v>
              </c:pt>
              <c:pt idx="14">
                <c:v>10000000</c:v>
              </c:pt>
            </c:numLit>
          </c:val>
          <c:extLst>
            <c:ext xmlns:c16="http://schemas.microsoft.com/office/drawing/2014/chart" uri="{C3380CC4-5D6E-409C-BE32-E72D297353CC}">
              <c16:uniqueId val="{00000000-AF98-4D0B-B3EB-4A985C11BF6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83260388"/>
        <c:axId val="74997652"/>
      </c:barChart>
      <c:catAx>
        <c:axId val="832603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997652"/>
        <c:crosses val="autoZero"/>
        <c:auto val="1"/>
        <c:lblAlgn val="ctr"/>
        <c:lblOffset val="100"/>
        <c:noMultiLvlLbl val="0"/>
      </c:catAx>
      <c:valAx>
        <c:axId val="74997652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Salary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\$#,##0" sourceLinked="0"/>
        <c:majorTickMark val="none"/>
        <c:minorTickMark val="none"/>
        <c:tickLblPos val="nextTo"/>
        <c:crossAx val="832603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solidFill>
      <a:schemeClr val="bg2">
        <a:lumMod val="9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7</xdr:row>
      <xdr:rowOff>38100</xdr:rowOff>
    </xdr:from>
    <xdr:ext cx="4335780" cy="392952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4A86311-D897-4C3B-8D36-57065EC770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462949</xdr:colOff>
      <xdr:row>7</xdr:row>
      <xdr:rowOff>74822</xdr:rowOff>
    </xdr:from>
    <xdr:ext cx="4468885" cy="3872761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A55793A-B222-4CA4-A0AC-54A35850BF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15</xdr:col>
      <xdr:colOff>373626</xdr:colOff>
      <xdr:row>0</xdr:row>
      <xdr:rowOff>0</xdr:rowOff>
    </xdr:from>
    <xdr:ext cx="4343400" cy="2688167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A3F1292-0397-40F9-A11E-A59BA270EB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37</xdr:col>
      <xdr:colOff>421918</xdr:colOff>
      <xdr:row>31</xdr:row>
      <xdr:rowOff>46066</xdr:rowOff>
    </xdr:from>
    <xdr:ext cx="4747260" cy="396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FA5CCBE-4F9B-4571-92DB-53613FC66B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twoCellAnchor editAs="oneCell">
    <xdr:from>
      <xdr:col>15</xdr:col>
      <xdr:colOff>349250</xdr:colOff>
      <xdr:row>12</xdr:row>
      <xdr:rowOff>31750</xdr:rowOff>
    </xdr:from>
    <xdr:to>
      <xdr:col>22</xdr:col>
      <xdr:colOff>455084</xdr:colOff>
      <xdr:row>28</xdr:row>
      <xdr:rowOff>116417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B3E4D9-6A0C-485A-8C56-0FF354C54B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F70619-BFCF-4BBD-BE2C-45760568DFE5}" name="Data" displayName="Data" ref="A4:E39" totalsRowShown="0" headerRowDxfId="1">
  <autoFilter ref="A4:E39" xr:uid="{6AF70619-BFCF-4BBD-BE2C-45760568DFE5}"/>
  <tableColumns count="5">
    <tableColumn id="1" xr3:uid="{0C8AAAD1-06F6-4821-9E18-C183AEF9D3D4}" name="ID"/>
    <tableColumn id="2" xr3:uid="{83B89CE7-E74D-4233-B3E6-BCECD7972DA8}" name="Experience_Years"/>
    <tableColumn id="3" xr3:uid="{BAA7CB4B-121B-485E-A9D3-7427915E8404}" name="Age"/>
    <tableColumn id="4" xr3:uid="{19D150F1-8BD5-44C0-9061-C382F3B126AF}" name="Gender"/>
    <tableColumn id="5" xr3:uid="{AC53AB4E-AD44-40BD-8A58-73DD5242851D}" name="Salary" dataDxfId="0" dataCellStyle="Currency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4BC9F-45F8-4F6F-8E52-2C392B7BDEC4}">
  <dimension ref="A1:E39"/>
  <sheetViews>
    <sheetView workbookViewId="0">
      <selection activeCell="O11" sqref="O11"/>
    </sheetView>
  </sheetViews>
  <sheetFormatPr defaultColWidth="3.33203125" defaultRowHeight="14.4" x14ac:dyDescent="0.3"/>
  <cols>
    <col min="1" max="1" width="8.6640625" bestFit="1" customWidth="1"/>
    <col min="2" max="2" width="24.88671875" bestFit="1" customWidth="1"/>
    <col min="3" max="3" width="10.44140625" bestFit="1" customWidth="1"/>
    <col min="4" max="4" width="14" bestFit="1" customWidth="1"/>
    <col min="5" max="5" width="14.6640625" bestFit="1" customWidth="1"/>
  </cols>
  <sheetData>
    <row r="1" spans="1:5" x14ac:dyDescent="0.3">
      <c r="A1" s="28" t="s">
        <v>29</v>
      </c>
      <c r="B1" s="28"/>
      <c r="C1" s="28"/>
      <c r="D1" s="28"/>
      <c r="E1" s="28"/>
    </row>
    <row r="2" spans="1:5" x14ac:dyDescent="0.3">
      <c r="A2" s="28"/>
      <c r="B2" s="28"/>
      <c r="C2" s="28"/>
      <c r="D2" s="28"/>
      <c r="E2" s="28"/>
    </row>
    <row r="3" spans="1:5" x14ac:dyDescent="0.3">
      <c r="A3" s="28"/>
      <c r="B3" s="28"/>
      <c r="C3" s="28"/>
      <c r="D3" s="28"/>
      <c r="E3" s="28"/>
    </row>
    <row r="4" spans="1:5" s="13" customFormat="1" ht="18" x14ac:dyDescent="0.3">
      <c r="A4" s="12" t="s">
        <v>0</v>
      </c>
      <c r="B4" s="12" t="s">
        <v>1</v>
      </c>
      <c r="C4" s="12" t="s">
        <v>2</v>
      </c>
      <c r="D4" s="12" t="s">
        <v>3</v>
      </c>
      <c r="E4" s="12" t="s">
        <v>4</v>
      </c>
    </row>
    <row r="5" spans="1:5" x14ac:dyDescent="0.3">
      <c r="A5">
        <v>1</v>
      </c>
      <c r="B5">
        <v>5</v>
      </c>
      <c r="C5">
        <v>28</v>
      </c>
      <c r="D5" t="s">
        <v>5</v>
      </c>
      <c r="E5" s="26">
        <v>250000</v>
      </c>
    </row>
    <row r="6" spans="1:5" x14ac:dyDescent="0.3">
      <c r="A6">
        <v>2</v>
      </c>
      <c r="B6">
        <v>1</v>
      </c>
      <c r="C6">
        <v>21</v>
      </c>
      <c r="D6" t="s">
        <v>6</v>
      </c>
      <c r="E6" s="26">
        <v>50000</v>
      </c>
    </row>
    <row r="7" spans="1:5" x14ac:dyDescent="0.3">
      <c r="A7">
        <v>3</v>
      </c>
      <c r="B7">
        <v>3</v>
      </c>
      <c r="C7">
        <v>23</v>
      </c>
      <c r="D7" t="s">
        <v>5</v>
      </c>
      <c r="E7" s="26">
        <v>170000</v>
      </c>
    </row>
    <row r="8" spans="1:5" x14ac:dyDescent="0.3">
      <c r="A8">
        <v>4</v>
      </c>
      <c r="B8">
        <v>2</v>
      </c>
      <c r="C8">
        <v>22</v>
      </c>
      <c r="D8" t="s">
        <v>6</v>
      </c>
      <c r="E8" s="26">
        <v>25000</v>
      </c>
    </row>
    <row r="9" spans="1:5" x14ac:dyDescent="0.3">
      <c r="A9">
        <v>5</v>
      </c>
      <c r="B9">
        <v>1</v>
      </c>
      <c r="C9">
        <v>17</v>
      </c>
      <c r="D9" t="s">
        <v>6</v>
      </c>
      <c r="E9" s="26">
        <v>10000</v>
      </c>
    </row>
    <row r="10" spans="1:5" x14ac:dyDescent="0.3">
      <c r="A10">
        <v>6</v>
      </c>
      <c r="B10">
        <v>25</v>
      </c>
      <c r="C10">
        <v>62</v>
      </c>
      <c r="D10" t="s">
        <v>6</v>
      </c>
      <c r="E10" s="26">
        <v>5001000</v>
      </c>
    </row>
    <row r="11" spans="1:5" x14ac:dyDescent="0.3">
      <c r="A11">
        <v>7</v>
      </c>
      <c r="B11">
        <v>19</v>
      </c>
      <c r="C11">
        <v>54</v>
      </c>
      <c r="D11" t="s">
        <v>5</v>
      </c>
      <c r="E11" s="26">
        <v>800000</v>
      </c>
    </row>
    <row r="12" spans="1:5" x14ac:dyDescent="0.3">
      <c r="A12">
        <v>8</v>
      </c>
      <c r="B12">
        <v>2</v>
      </c>
      <c r="C12">
        <v>21</v>
      </c>
      <c r="D12" t="s">
        <v>5</v>
      </c>
      <c r="E12" s="26">
        <v>9000</v>
      </c>
    </row>
    <row r="13" spans="1:5" x14ac:dyDescent="0.3">
      <c r="A13">
        <v>9</v>
      </c>
      <c r="B13">
        <v>10</v>
      </c>
      <c r="C13">
        <v>36</v>
      </c>
      <c r="D13" t="s">
        <v>5</v>
      </c>
      <c r="E13" s="26">
        <v>61500</v>
      </c>
    </row>
    <row r="14" spans="1:5" x14ac:dyDescent="0.3">
      <c r="A14">
        <v>10</v>
      </c>
      <c r="B14">
        <v>15</v>
      </c>
      <c r="C14">
        <v>54</v>
      </c>
      <c r="D14" t="s">
        <v>5</v>
      </c>
      <c r="E14" s="26">
        <v>650000</v>
      </c>
    </row>
    <row r="15" spans="1:5" x14ac:dyDescent="0.3">
      <c r="A15">
        <v>11</v>
      </c>
      <c r="B15">
        <v>4</v>
      </c>
      <c r="C15">
        <v>26</v>
      </c>
      <c r="D15" t="s">
        <v>5</v>
      </c>
      <c r="E15" s="26">
        <v>250000</v>
      </c>
    </row>
    <row r="16" spans="1:5" x14ac:dyDescent="0.3">
      <c r="A16">
        <v>12</v>
      </c>
      <c r="B16">
        <v>6</v>
      </c>
      <c r="C16">
        <v>29</v>
      </c>
      <c r="D16" t="s">
        <v>6</v>
      </c>
      <c r="E16" s="26">
        <v>1400000</v>
      </c>
    </row>
    <row r="17" spans="1:5" x14ac:dyDescent="0.3">
      <c r="A17">
        <v>13</v>
      </c>
      <c r="B17">
        <v>14</v>
      </c>
      <c r="C17">
        <v>39</v>
      </c>
      <c r="D17" t="s">
        <v>6</v>
      </c>
      <c r="E17" s="26">
        <v>6000050</v>
      </c>
    </row>
    <row r="18" spans="1:5" x14ac:dyDescent="0.3">
      <c r="A18">
        <v>14</v>
      </c>
      <c r="B18">
        <v>11</v>
      </c>
      <c r="C18">
        <v>40</v>
      </c>
      <c r="D18" t="s">
        <v>6</v>
      </c>
      <c r="E18" s="26">
        <v>220100</v>
      </c>
    </row>
    <row r="19" spans="1:5" x14ac:dyDescent="0.3">
      <c r="A19">
        <v>15</v>
      </c>
      <c r="B19">
        <v>2</v>
      </c>
      <c r="C19">
        <v>23</v>
      </c>
      <c r="D19" t="s">
        <v>6</v>
      </c>
      <c r="E19" s="26">
        <v>7500</v>
      </c>
    </row>
    <row r="20" spans="1:5" x14ac:dyDescent="0.3">
      <c r="A20">
        <v>16</v>
      </c>
      <c r="B20">
        <v>4</v>
      </c>
      <c r="C20">
        <v>27</v>
      </c>
      <c r="D20" t="s">
        <v>5</v>
      </c>
      <c r="E20" s="26">
        <v>87000</v>
      </c>
    </row>
    <row r="21" spans="1:5" x14ac:dyDescent="0.3">
      <c r="A21">
        <v>17</v>
      </c>
      <c r="B21">
        <v>10</v>
      </c>
      <c r="C21">
        <v>34</v>
      </c>
      <c r="D21" t="s">
        <v>5</v>
      </c>
      <c r="E21" s="26">
        <v>930000</v>
      </c>
    </row>
    <row r="22" spans="1:5" x14ac:dyDescent="0.3">
      <c r="A22">
        <v>18</v>
      </c>
      <c r="B22">
        <v>15</v>
      </c>
      <c r="C22">
        <v>54</v>
      </c>
      <c r="D22" t="s">
        <v>5</v>
      </c>
      <c r="E22" s="26">
        <v>7900000</v>
      </c>
    </row>
    <row r="23" spans="1:5" x14ac:dyDescent="0.3">
      <c r="A23">
        <v>19</v>
      </c>
      <c r="B23">
        <v>2</v>
      </c>
      <c r="C23">
        <v>21</v>
      </c>
      <c r="D23" t="s">
        <v>6</v>
      </c>
      <c r="E23" s="26">
        <v>15000</v>
      </c>
    </row>
    <row r="24" spans="1:5" x14ac:dyDescent="0.3">
      <c r="A24">
        <v>20</v>
      </c>
      <c r="B24">
        <v>10</v>
      </c>
      <c r="C24">
        <v>36</v>
      </c>
      <c r="D24" t="s">
        <v>6</v>
      </c>
      <c r="E24" s="26">
        <v>330000</v>
      </c>
    </row>
    <row r="25" spans="1:5" x14ac:dyDescent="0.3">
      <c r="A25">
        <v>21</v>
      </c>
      <c r="B25">
        <v>15</v>
      </c>
      <c r="C25">
        <v>54</v>
      </c>
      <c r="D25" t="s">
        <v>6</v>
      </c>
      <c r="E25" s="26">
        <v>6570000</v>
      </c>
    </row>
    <row r="26" spans="1:5" x14ac:dyDescent="0.3">
      <c r="A26">
        <v>22</v>
      </c>
      <c r="B26">
        <v>4</v>
      </c>
      <c r="C26">
        <v>26</v>
      </c>
      <c r="D26" t="s">
        <v>6</v>
      </c>
      <c r="E26" s="26">
        <v>25000</v>
      </c>
    </row>
    <row r="27" spans="1:5" x14ac:dyDescent="0.3">
      <c r="A27">
        <v>23</v>
      </c>
      <c r="B27">
        <v>5</v>
      </c>
      <c r="C27">
        <v>29</v>
      </c>
      <c r="D27" t="s">
        <v>6</v>
      </c>
      <c r="E27" s="26">
        <v>6845000</v>
      </c>
    </row>
    <row r="28" spans="1:5" x14ac:dyDescent="0.3">
      <c r="A28">
        <v>24</v>
      </c>
      <c r="B28">
        <v>1</v>
      </c>
      <c r="C28">
        <v>21</v>
      </c>
      <c r="D28" t="s">
        <v>5</v>
      </c>
      <c r="E28" s="26">
        <v>6000</v>
      </c>
    </row>
    <row r="29" spans="1:5" x14ac:dyDescent="0.3">
      <c r="A29">
        <v>25</v>
      </c>
      <c r="B29">
        <v>4</v>
      </c>
      <c r="C29">
        <v>23</v>
      </c>
      <c r="D29" t="s">
        <v>5</v>
      </c>
      <c r="E29" s="26">
        <v>8900</v>
      </c>
    </row>
    <row r="30" spans="1:5" x14ac:dyDescent="0.3">
      <c r="A30">
        <v>26</v>
      </c>
      <c r="B30">
        <v>3</v>
      </c>
      <c r="C30">
        <v>22</v>
      </c>
      <c r="D30" t="s">
        <v>5</v>
      </c>
      <c r="E30" s="26">
        <v>20000</v>
      </c>
    </row>
    <row r="31" spans="1:5" x14ac:dyDescent="0.3">
      <c r="A31">
        <v>27</v>
      </c>
      <c r="B31">
        <v>1</v>
      </c>
      <c r="C31">
        <v>18</v>
      </c>
      <c r="D31" t="s">
        <v>6</v>
      </c>
      <c r="E31" s="26">
        <v>3000</v>
      </c>
    </row>
    <row r="32" spans="1:5" x14ac:dyDescent="0.3">
      <c r="A32">
        <v>28</v>
      </c>
      <c r="B32">
        <v>27</v>
      </c>
      <c r="C32">
        <v>62</v>
      </c>
      <c r="D32" t="s">
        <v>5</v>
      </c>
      <c r="E32" s="26">
        <v>10000000</v>
      </c>
    </row>
    <row r="33" spans="1:5" x14ac:dyDescent="0.3">
      <c r="A33">
        <v>29</v>
      </c>
      <c r="B33">
        <v>19</v>
      </c>
      <c r="C33">
        <v>54</v>
      </c>
      <c r="D33" t="s">
        <v>5</v>
      </c>
      <c r="E33" s="26">
        <v>5000000</v>
      </c>
    </row>
    <row r="34" spans="1:5" x14ac:dyDescent="0.3">
      <c r="A34">
        <v>30</v>
      </c>
      <c r="B34">
        <v>2</v>
      </c>
      <c r="C34">
        <v>21</v>
      </c>
      <c r="D34" t="s">
        <v>5</v>
      </c>
      <c r="E34" s="26">
        <v>6100</v>
      </c>
    </row>
    <row r="35" spans="1:5" x14ac:dyDescent="0.3">
      <c r="A35">
        <v>31</v>
      </c>
      <c r="B35">
        <v>10</v>
      </c>
      <c r="C35">
        <v>34</v>
      </c>
      <c r="D35" t="s">
        <v>6</v>
      </c>
      <c r="E35" s="26">
        <v>80000</v>
      </c>
    </row>
    <row r="36" spans="1:5" x14ac:dyDescent="0.3">
      <c r="A36">
        <v>32</v>
      </c>
      <c r="B36">
        <v>15</v>
      </c>
      <c r="C36">
        <v>54</v>
      </c>
      <c r="D36" t="s">
        <v>6</v>
      </c>
      <c r="E36" s="26">
        <v>900000</v>
      </c>
    </row>
    <row r="37" spans="1:5" x14ac:dyDescent="0.3">
      <c r="A37">
        <v>33</v>
      </c>
      <c r="B37">
        <v>20</v>
      </c>
      <c r="C37">
        <v>55</v>
      </c>
      <c r="D37" t="s">
        <v>5</v>
      </c>
      <c r="E37" s="26">
        <v>1540000</v>
      </c>
    </row>
    <row r="38" spans="1:5" x14ac:dyDescent="0.3">
      <c r="A38">
        <v>34</v>
      </c>
      <c r="B38">
        <v>19</v>
      </c>
      <c r="C38">
        <v>53</v>
      </c>
      <c r="D38" t="s">
        <v>5</v>
      </c>
      <c r="E38" s="26">
        <v>9300000</v>
      </c>
    </row>
    <row r="39" spans="1:5" x14ac:dyDescent="0.3">
      <c r="A39">
        <v>35</v>
      </c>
      <c r="B39">
        <v>16</v>
      </c>
      <c r="C39">
        <v>49</v>
      </c>
      <c r="D39" t="s">
        <v>6</v>
      </c>
      <c r="E39" s="26">
        <v>7600000</v>
      </c>
    </row>
  </sheetData>
  <mergeCells count="1">
    <mergeCell ref="A1:E3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53260-A6C9-40C4-92D7-BC03411603ED}">
  <dimension ref="A1:J28"/>
  <sheetViews>
    <sheetView showGridLines="0" showRowColHeaders="0" workbookViewId="0">
      <selection activeCell="F14" sqref="F14"/>
    </sheetView>
  </sheetViews>
  <sheetFormatPr defaultRowHeight="14.4" x14ac:dyDescent="0.3"/>
  <cols>
    <col min="1" max="1" width="21.21875" customWidth="1"/>
    <col min="2" max="2" width="21.6640625" customWidth="1"/>
    <col min="3" max="3" width="28.6640625" customWidth="1"/>
    <col min="5" max="7" width="8.88671875" customWidth="1"/>
    <col min="8" max="8" width="1.21875" customWidth="1"/>
    <col min="9" max="10" width="8.88671875" hidden="1" customWidth="1"/>
    <col min="12" max="12" width="24.44140625" customWidth="1"/>
    <col min="14" max="14" width="44" customWidth="1"/>
  </cols>
  <sheetData>
    <row r="1" spans="1:3" ht="32.4" customHeight="1" x14ac:dyDescent="0.3">
      <c r="A1" s="30" t="s">
        <v>7</v>
      </c>
      <c r="B1" s="30"/>
      <c r="C1" s="30"/>
    </row>
    <row r="2" spans="1:3" x14ac:dyDescent="0.3">
      <c r="A2" s="1" t="s">
        <v>8</v>
      </c>
      <c r="B2" s="1" t="s">
        <v>9</v>
      </c>
      <c r="C2" s="1" t="s">
        <v>10</v>
      </c>
    </row>
    <row r="3" spans="1:3" x14ac:dyDescent="0.3">
      <c r="A3" s="2" t="s">
        <v>0</v>
      </c>
      <c r="B3" s="3">
        <f>COUNTBLANK('Raw Data'!A5:A39)</f>
        <v>0</v>
      </c>
      <c r="C3" s="3" t="str">
        <f>IF(B3=0,"✅ Clean","⚠️ Has Blanks")</f>
        <v>✅ Clean</v>
      </c>
    </row>
    <row r="4" spans="1:3" x14ac:dyDescent="0.3">
      <c r="A4" s="4" t="s">
        <v>1</v>
      </c>
      <c r="B4" s="5">
        <f>COUNTBLANK('Raw Data'!B5:B39)</f>
        <v>0</v>
      </c>
      <c r="C4" s="5" t="str">
        <f>IF(B4=0,"✅ Clean","⚠️ Has Blanks")</f>
        <v>✅ Clean</v>
      </c>
    </row>
    <row r="5" spans="1:3" x14ac:dyDescent="0.3">
      <c r="A5" s="2" t="s">
        <v>2</v>
      </c>
      <c r="B5" s="3">
        <f>COUNTBLANK('Raw Data'!C5:C39)</f>
        <v>0</v>
      </c>
      <c r="C5" s="3" t="str">
        <f>IF(B5=0,"✅ Clean","⚠️ Has Blanks")</f>
        <v>✅ Clean</v>
      </c>
    </row>
    <row r="6" spans="1:3" x14ac:dyDescent="0.3">
      <c r="A6" s="4" t="s">
        <v>3</v>
      </c>
      <c r="B6" s="5">
        <f>COUNTBLANK('Raw Data'!D5:D39)</f>
        <v>0</v>
      </c>
      <c r="C6" s="5" t="str">
        <f>IF(B6=0,"✅ Clean","⚠️ Has Blanks")</f>
        <v>✅ Clean</v>
      </c>
    </row>
    <row r="7" spans="1:3" x14ac:dyDescent="0.3">
      <c r="A7" s="2" t="s">
        <v>4</v>
      </c>
      <c r="B7" s="3">
        <f t="array" ref="B7">COUNTBLANK('Raw Data'!E5:E39)</f>
        <v>0</v>
      </c>
      <c r="C7" s="3" t="str">
        <f>IF(B7=0,"✅ Clean","⚠️ Has Blanks")</f>
        <v>✅ Clean</v>
      </c>
    </row>
    <row r="8" spans="1:3" x14ac:dyDescent="0.3">
      <c r="A8" s="10"/>
      <c r="B8" s="11"/>
      <c r="C8" s="11"/>
    </row>
    <row r="9" spans="1:3" ht="13.2" customHeight="1" x14ac:dyDescent="0.3"/>
    <row r="10" spans="1:3" ht="0.6" customHeight="1" x14ac:dyDescent="0.3"/>
    <row r="11" spans="1:3" ht="34.799999999999997" customHeight="1" x14ac:dyDescent="0.3">
      <c r="A11" s="29" t="s">
        <v>28</v>
      </c>
      <c r="B11" s="29"/>
      <c r="C11" s="29"/>
    </row>
    <row r="12" spans="1:3" x14ac:dyDescent="0.3">
      <c r="A12" s="1" t="s">
        <v>11</v>
      </c>
      <c r="B12" s="1" t="s">
        <v>12</v>
      </c>
      <c r="C12" s="1" t="s">
        <v>10</v>
      </c>
    </row>
    <row r="13" spans="1:3" x14ac:dyDescent="0.3">
      <c r="A13" s="4" t="s">
        <v>13</v>
      </c>
      <c r="B13" s="5">
        <f>COUNTA('Raw Data'!B5:B39)</f>
        <v>35</v>
      </c>
      <c r="C13" s="5" t="str">
        <f>TEXT(B13,"0")&amp;" records found"</f>
        <v>35 records found</v>
      </c>
    </row>
    <row r="14" spans="1:3" x14ac:dyDescent="0.3">
      <c r="A14" s="2" t="s">
        <v>14</v>
      </c>
      <c r="B14" s="3" cm="1">
        <f t="array" ref="B14">SUMPRODUCT(1/COUNTIF('Raw Data'!A5:A39,'Raw Data'!A5:A39))</f>
        <v>35</v>
      </c>
      <c r="C14" s="3" t="str">
        <f>IF(B13=B14,"✅ No Duplicates","⚠️ Duplicates Found")</f>
        <v>✅ No Duplicates</v>
      </c>
    </row>
    <row r="15" spans="1:3" x14ac:dyDescent="0.3">
      <c r="A15" s="10"/>
      <c r="B15" s="11"/>
      <c r="C15" s="11"/>
    </row>
    <row r="17" spans="1:3" ht="33" customHeight="1" x14ac:dyDescent="0.3">
      <c r="A17" s="29" t="s">
        <v>27</v>
      </c>
      <c r="B17" s="29"/>
      <c r="C17" s="29"/>
    </row>
    <row r="18" spans="1:3" x14ac:dyDescent="0.3">
      <c r="A18" s="1" t="s">
        <v>11</v>
      </c>
      <c r="B18" s="1" t="s">
        <v>15</v>
      </c>
      <c r="C18" s="1" t="s">
        <v>10</v>
      </c>
    </row>
    <row r="19" spans="1:3" x14ac:dyDescent="0.3">
      <c r="A19" s="4" t="s">
        <v>16</v>
      </c>
      <c r="B19" s="6">
        <f>MIN('Raw Data'!E5:E39)</f>
        <v>3000</v>
      </c>
      <c r="C19" s="5" t="s">
        <v>17</v>
      </c>
    </row>
    <row r="20" spans="1:3" x14ac:dyDescent="0.3">
      <c r="A20" s="2" t="s">
        <v>18</v>
      </c>
      <c r="B20" s="7">
        <f>MAX('Raw Data'!E5:E39)</f>
        <v>10000000</v>
      </c>
      <c r="C20" s="3" t="s">
        <v>17</v>
      </c>
    </row>
    <row r="21" spans="1:3" x14ac:dyDescent="0.3">
      <c r="A21" s="4" t="s">
        <v>19</v>
      </c>
      <c r="B21" s="8">
        <f>COUNTIF('Raw Data'!E5:E39,"&lt;0")</f>
        <v>0</v>
      </c>
      <c r="C21" s="5" t="str">
        <f>IF(B21=0,"✅ Valid","⚠️ Review")</f>
        <v>✅ Valid</v>
      </c>
    </row>
    <row r="22" spans="1:3" x14ac:dyDescent="0.3">
      <c r="A22" s="2" t="s">
        <v>20</v>
      </c>
      <c r="B22" s="9">
        <f>MIN('Raw Data'!C5:C39)</f>
        <v>17</v>
      </c>
      <c r="C22" s="3" t="s">
        <v>17</v>
      </c>
    </row>
    <row r="23" spans="1:3" x14ac:dyDescent="0.3">
      <c r="A23" s="4" t="s">
        <v>21</v>
      </c>
      <c r="B23" s="8">
        <f>MAX('Raw Data'!C5:C39)</f>
        <v>62</v>
      </c>
      <c r="C23" s="5" t="s">
        <v>17</v>
      </c>
    </row>
    <row r="24" spans="1:3" x14ac:dyDescent="0.3">
      <c r="A24" s="2" t="s">
        <v>22</v>
      </c>
      <c r="B24" s="9">
        <f>COUNTIF('Raw Data'!D5:D39,"Male")</f>
        <v>17</v>
      </c>
      <c r="C24" s="3" t="s">
        <v>17</v>
      </c>
    </row>
    <row r="25" spans="1:3" x14ac:dyDescent="0.3">
      <c r="A25" s="4" t="s">
        <v>23</v>
      </c>
      <c r="B25" s="8">
        <f>COUNTIF('Raw Data'!D5:D39,"Female")</f>
        <v>18</v>
      </c>
      <c r="C25" s="5" t="s">
        <v>17</v>
      </c>
    </row>
    <row r="26" spans="1:3" x14ac:dyDescent="0.3">
      <c r="A26" s="2" t="s">
        <v>24</v>
      </c>
      <c r="B26" s="9">
        <f>35-COUNTIF('Raw Data'!D5:D39,"Male")-COUNTIF('Raw Data'!D5:D39,"Female")</f>
        <v>0</v>
      </c>
      <c r="C26" s="3" t="str">
        <f>IF(B26=0,"✅ Valid","⚠️ Review")</f>
        <v>✅ Valid</v>
      </c>
    </row>
    <row r="27" spans="1:3" x14ac:dyDescent="0.3">
      <c r="A27" s="4" t="s">
        <v>25</v>
      </c>
      <c r="B27" s="8">
        <f>MIN('Raw Data'!B5:B39)</f>
        <v>1</v>
      </c>
      <c r="C27" s="5" t="s">
        <v>17</v>
      </c>
    </row>
    <row r="28" spans="1:3" x14ac:dyDescent="0.3">
      <c r="A28" s="2" t="s">
        <v>26</v>
      </c>
      <c r="B28" s="9">
        <f>MAX('Raw Data'!B5:B39)</f>
        <v>27</v>
      </c>
      <c r="C28" s="3" t="s">
        <v>17</v>
      </c>
    </row>
  </sheetData>
  <mergeCells count="3">
    <mergeCell ref="A17:C17"/>
    <mergeCell ref="A1:C1"/>
    <mergeCell ref="A11:C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975CE-6141-4478-ACE8-5762C48AB1D2}">
  <dimension ref="A1:E32"/>
  <sheetViews>
    <sheetView showGridLines="0" showRowColHeaders="0" workbookViewId="0">
      <selection activeCell="E39" sqref="E39"/>
    </sheetView>
  </sheetViews>
  <sheetFormatPr defaultRowHeight="14.4" x14ac:dyDescent="0.3"/>
  <cols>
    <col min="1" max="1" width="23.21875" customWidth="1"/>
    <col min="2" max="2" width="20.77734375" customWidth="1"/>
    <col min="3" max="3" width="17.44140625" bestFit="1" customWidth="1"/>
    <col min="4" max="4" width="16" bestFit="1" customWidth="1"/>
    <col min="5" max="5" width="7.33203125" bestFit="1" customWidth="1"/>
    <col min="7" max="8" width="12.5546875" bestFit="1" customWidth="1"/>
  </cols>
  <sheetData>
    <row r="1" spans="1:5" ht="14.4" customHeight="1" x14ac:dyDescent="0.3">
      <c r="A1" s="43" t="s">
        <v>30</v>
      </c>
      <c r="B1" s="43"/>
      <c r="C1" s="43"/>
      <c r="D1" s="43"/>
      <c r="E1" s="43"/>
    </row>
    <row r="2" spans="1:5" ht="14.4" customHeight="1" x14ac:dyDescent="0.3">
      <c r="A2" s="43"/>
      <c r="B2" s="43"/>
      <c r="C2" s="43"/>
      <c r="D2" s="43"/>
      <c r="E2" s="43"/>
    </row>
    <row r="3" spans="1:5" ht="14.4" customHeight="1" x14ac:dyDescent="0.3">
      <c r="A3" s="43"/>
      <c r="B3" s="43"/>
      <c r="C3" s="43"/>
      <c r="D3" s="43"/>
      <c r="E3" s="43"/>
    </row>
    <row r="5" spans="1:5" ht="15.6" x14ac:dyDescent="0.3">
      <c r="A5" s="44" t="s">
        <v>31</v>
      </c>
      <c r="B5" s="44"/>
      <c r="C5" s="44"/>
      <c r="D5" s="44"/>
      <c r="E5" s="44"/>
    </row>
    <row r="6" spans="1:5" x14ac:dyDescent="0.3">
      <c r="A6" s="14" t="s">
        <v>32</v>
      </c>
      <c r="B6" s="14" t="s">
        <v>15</v>
      </c>
      <c r="C6" s="39" t="s">
        <v>33</v>
      </c>
      <c r="D6" s="40"/>
      <c r="E6" s="40"/>
    </row>
    <row r="7" spans="1:5" x14ac:dyDescent="0.3">
      <c r="A7" s="15" t="s">
        <v>13</v>
      </c>
      <c r="B7" s="16">
        <f>COUNTA('Raw Data'!A5:A39)</f>
        <v>35</v>
      </c>
      <c r="C7" s="33" t="s">
        <v>34</v>
      </c>
      <c r="D7" s="34"/>
      <c r="E7" s="34"/>
    </row>
    <row r="8" spans="1:5" x14ac:dyDescent="0.3">
      <c r="A8" s="17" t="s">
        <v>35</v>
      </c>
      <c r="B8" s="18">
        <f>AVERAGE('Raw Data'!E5:E39)</f>
        <v>2059147.142857143</v>
      </c>
      <c r="C8" s="35" t="s">
        <v>36</v>
      </c>
      <c r="D8" s="36"/>
      <c r="E8" s="36"/>
    </row>
    <row r="9" spans="1:5" x14ac:dyDescent="0.3">
      <c r="A9" s="15" t="s">
        <v>37</v>
      </c>
      <c r="B9" s="19">
        <f>MEDIAN('Raw Data'!E5:E39)</f>
        <v>250000</v>
      </c>
      <c r="C9" s="33" t="s">
        <v>38</v>
      </c>
      <c r="D9" s="34"/>
      <c r="E9" s="34"/>
    </row>
    <row r="10" spans="1:5" x14ac:dyDescent="0.3">
      <c r="A10" s="17" t="s">
        <v>39</v>
      </c>
      <c r="B10" s="18">
        <f>MAX('Raw Data'!E5:E39)</f>
        <v>10000000</v>
      </c>
      <c r="C10" s="35" t="s">
        <v>40</v>
      </c>
      <c r="D10" s="36"/>
      <c r="E10" s="36"/>
    </row>
    <row r="11" spans="1:5" x14ac:dyDescent="0.3">
      <c r="A11" s="15" t="s">
        <v>41</v>
      </c>
      <c r="B11" s="19">
        <f>MIN('Raw Data'!E5:E39)</f>
        <v>3000</v>
      </c>
      <c r="C11" s="33" t="s">
        <v>42</v>
      </c>
      <c r="D11" s="34"/>
      <c r="E11" s="34"/>
    </row>
    <row r="12" spans="1:5" x14ac:dyDescent="0.3">
      <c r="A12" s="17" t="s">
        <v>43</v>
      </c>
      <c r="B12" s="18">
        <f>STDEV('Raw Data'!E5:E39)</f>
        <v>3170123.6359018176</v>
      </c>
      <c r="C12" s="35" t="s">
        <v>44</v>
      </c>
      <c r="D12" s="36"/>
      <c r="E12" s="36"/>
    </row>
    <row r="13" spans="1:5" x14ac:dyDescent="0.3">
      <c r="A13" s="15" t="s">
        <v>45</v>
      </c>
      <c r="B13" s="20">
        <f>CORREL('Raw Data'!B5:B39,'Raw Data'!E5:E39)</f>
        <v>0.68559997754946167</v>
      </c>
      <c r="C13" s="33" t="s">
        <v>46</v>
      </c>
      <c r="D13" s="34"/>
      <c r="E13" s="34"/>
    </row>
    <row r="14" spans="1:5" x14ac:dyDescent="0.3">
      <c r="A14" s="17" t="s">
        <v>47</v>
      </c>
      <c r="B14" s="21">
        <f>CORREL('Raw Data'!C5:C39,'Raw Data'!E5:E39)</f>
        <v>0.66844412660354746</v>
      </c>
      <c r="C14" s="35" t="s">
        <v>48</v>
      </c>
      <c r="D14" s="36"/>
      <c r="E14" s="36"/>
    </row>
    <row r="17" spans="1:5" ht="15.6" x14ac:dyDescent="0.3">
      <c r="A17" s="37" t="s">
        <v>49</v>
      </c>
      <c r="B17" s="37"/>
      <c r="C17" s="37"/>
      <c r="D17" s="37"/>
      <c r="E17" s="37"/>
    </row>
    <row r="18" spans="1:5" x14ac:dyDescent="0.3">
      <c r="A18" s="14" t="s">
        <v>32</v>
      </c>
      <c r="B18" s="14" t="s">
        <v>6</v>
      </c>
      <c r="C18" s="14" t="s">
        <v>5</v>
      </c>
      <c r="D18" s="14" t="s">
        <v>50</v>
      </c>
      <c r="E18" s="14" t="s">
        <v>51</v>
      </c>
    </row>
    <row r="19" spans="1:5" x14ac:dyDescent="0.3">
      <c r="A19" s="15" t="s">
        <v>52</v>
      </c>
      <c r="B19" s="16">
        <f>COUNTIF('Raw Data'!D5:D39,"Male")</f>
        <v>17</v>
      </c>
      <c r="C19" s="16">
        <f>COUNTIF('Raw Data'!D5:D39,"Female")</f>
        <v>18</v>
      </c>
      <c r="D19" s="16">
        <f>B19-C19</f>
        <v>-1</v>
      </c>
      <c r="E19" s="22">
        <f>IF(C19&lt;&gt;0,(B19-C19)/C19,0)</f>
        <v>-5.5555555555555552E-2</v>
      </c>
    </row>
    <row r="20" spans="1:5" x14ac:dyDescent="0.3">
      <c r="A20" s="17" t="s">
        <v>35</v>
      </c>
      <c r="B20" s="18">
        <f>AVERAGEIF('Raw Data'!D5:D39,"Male",'Raw Data'!E5:E39)</f>
        <v>2063626.4705882352</v>
      </c>
      <c r="C20" s="18">
        <f>AVERAGEIF('Raw Data'!D5:D39,"Female",'Raw Data'!E5:E39)</f>
        <v>2054916.6666666667</v>
      </c>
      <c r="D20" s="18">
        <f>B20-C20</f>
        <v>8709.8039215684403</v>
      </c>
      <c r="E20" s="23">
        <f>IF(C20&lt;&gt;0,(B20-C20)/C20,0)</f>
        <v>4.2385192854057863E-3</v>
      </c>
    </row>
    <row r="21" spans="1:5" x14ac:dyDescent="0.3">
      <c r="A21" s="15" t="s">
        <v>37</v>
      </c>
      <c r="B21" s="19" cm="1">
        <f t="array" ref="B21">MEDIAN(IF('Raw Data'!D5:D39="Male",'Raw Data'!E5:E39))</f>
        <v>220100</v>
      </c>
      <c r="C21" s="19" cm="1">
        <f t="array" ref="C21">MEDIAN(IF('Raw Data'!D5:D39="Female",'Raw Data'!E5:E39))</f>
        <v>250000</v>
      </c>
      <c r="D21" s="19">
        <f>B21-C21</f>
        <v>-29900</v>
      </c>
      <c r="E21" s="22">
        <f>IF(C21&lt;&gt;0,(B21-C21)/C21,0)</f>
        <v>-0.1196</v>
      </c>
    </row>
    <row r="22" spans="1:5" x14ac:dyDescent="0.3">
      <c r="A22" s="17" t="s">
        <v>53</v>
      </c>
      <c r="B22" s="18" cm="1">
        <f t="array" ref="B22">MAX(IF('Raw Data'!D5:D39="Male",'Raw Data'!E5:E39))</f>
        <v>7600000</v>
      </c>
      <c r="C22" s="18" cm="1">
        <f t="array" ref="C22">MAX(IF('Raw Data'!D5:D39="Female",'Raw Data'!E5:E39))</f>
        <v>10000000</v>
      </c>
      <c r="D22" s="18">
        <f>B22-C22</f>
        <v>-2400000</v>
      </c>
      <c r="E22" s="23">
        <f>IF(C22&lt;&gt;0,(B22-C22)/C22,0)</f>
        <v>-0.24</v>
      </c>
    </row>
    <row r="23" spans="1:5" x14ac:dyDescent="0.3">
      <c r="A23" s="15" t="s">
        <v>54</v>
      </c>
      <c r="B23" s="19" cm="1">
        <f t="array" ref="B23">MIN(IF('Raw Data'!D5:D39="Male",'Raw Data'!E5:E39))</f>
        <v>3000</v>
      </c>
      <c r="C23" s="19" cm="1">
        <f t="array" ref="C23">MIN(IF('Raw Data'!D5:D39="Female",'Raw Data'!E5:E39))</f>
        <v>6000</v>
      </c>
      <c r="D23" s="19">
        <f>B23-C23</f>
        <v>-3000</v>
      </c>
      <c r="E23" s="22">
        <f>IF(C23&lt;&gt;0,(B23-C23)/C23,0)</f>
        <v>-0.5</v>
      </c>
    </row>
    <row r="26" spans="1:5" ht="15.6" x14ac:dyDescent="0.3">
      <c r="A26" s="38" t="s">
        <v>56</v>
      </c>
      <c r="B26" s="38"/>
      <c r="C26" s="38"/>
      <c r="D26" s="38"/>
      <c r="E26" s="38"/>
    </row>
    <row r="27" spans="1:5" x14ac:dyDescent="0.3">
      <c r="A27" s="14" t="s">
        <v>57</v>
      </c>
      <c r="B27" s="14" t="s">
        <v>55</v>
      </c>
      <c r="C27" s="14" t="s">
        <v>52</v>
      </c>
      <c r="D27" s="39" t="s">
        <v>58</v>
      </c>
      <c r="E27" s="40"/>
    </row>
    <row r="28" spans="1:5" x14ac:dyDescent="0.3">
      <c r="A28" s="17" t="s">
        <v>59</v>
      </c>
      <c r="B28" s="18">
        <f>IFERROR(AVERAGEIFS('Raw Data'!E5:E39,'Raw Data'!C5:C39,"&lt;25",'Raw Data'!C5:C39,"&gt;=0"),0)</f>
        <v>27541.666666666668</v>
      </c>
      <c r="C28" s="25">
        <f>COUNTIFS('Raw Data'!C5:C39,"&lt;25",'Raw Data'!C5:C39,"&gt;=0")</f>
        <v>12</v>
      </c>
      <c r="D28" s="31">
        <f>C28/35</f>
        <v>0.34285714285714286</v>
      </c>
      <c r="E28" s="32"/>
    </row>
    <row r="29" spans="1:5" x14ac:dyDescent="0.3">
      <c r="A29" s="15" t="s">
        <v>60</v>
      </c>
      <c r="B29" s="19">
        <f>IFERROR(AVERAGEIFS('Raw Data'!E5:E39,'Raw Data'!C5:C39,"&gt;=25",'Raw Data'!C5:C39,"&lt;=35"),0)</f>
        <v>1233375</v>
      </c>
      <c r="C29" s="24">
        <f>COUNTIFS('Raw Data'!C5:C39,"&gt;=25",'Raw Data'!C5:C39,"&lt;=35")</f>
        <v>8</v>
      </c>
      <c r="D29" s="41">
        <f>C29/35</f>
        <v>0.22857142857142856</v>
      </c>
      <c r="E29" s="42"/>
    </row>
    <row r="30" spans="1:5" x14ac:dyDescent="0.3">
      <c r="A30" s="17" t="s">
        <v>61</v>
      </c>
      <c r="B30" s="18">
        <f>IFERROR(AVERAGEIFS('Raw Data'!E5:E39,'Raw Data'!C5:C39,"&gt;=36",'Raw Data'!C5:C39,"&lt;=45"),0)</f>
        <v>1652912.5</v>
      </c>
      <c r="C30" s="25">
        <f>COUNTIFS('Raw Data'!C5:C39,"&gt;=36",'Raw Data'!C5:C39,"&lt;=45")</f>
        <v>4</v>
      </c>
      <c r="D30" s="31">
        <f>C30/35</f>
        <v>0.11428571428571428</v>
      </c>
      <c r="E30" s="32"/>
    </row>
    <row r="31" spans="1:5" x14ac:dyDescent="0.3">
      <c r="A31" s="15" t="s">
        <v>62</v>
      </c>
      <c r="B31" s="19">
        <f>IFERROR(AVERAGEIFS('Raw Data'!E5:E39,'Raw Data'!C5:C39,"&gt;=46",'Raw Data'!C5:C39,"&lt;=55"),0)</f>
        <v>4473333.333333333</v>
      </c>
      <c r="C31" s="24">
        <f>COUNTIFS('Raw Data'!C5:C39,"&gt;=46",'Raw Data'!C5:C39,"&lt;=55")</f>
        <v>9</v>
      </c>
      <c r="D31" s="41">
        <f>C31/35</f>
        <v>0.25714285714285712</v>
      </c>
      <c r="E31" s="42"/>
    </row>
    <row r="32" spans="1:5" x14ac:dyDescent="0.3">
      <c r="A32" s="17" t="s">
        <v>63</v>
      </c>
      <c r="B32" s="18">
        <f>IFERROR(AVERAGEIFS('Raw Data'!E5:E39,'Raw Data'!C5:C39,"&gt;=56",'Raw Data'!C5:C39,"&lt;=100"),0)</f>
        <v>7500500</v>
      </c>
      <c r="C32" s="25">
        <f>COUNTIFS('Raw Data'!C5:C39,"&gt;=56",'Raw Data'!C5:C39,"&lt;=100")</f>
        <v>2</v>
      </c>
      <c r="D32" s="31">
        <f>C32/35</f>
        <v>5.7142857142857141E-2</v>
      </c>
      <c r="E32" s="32"/>
    </row>
  </sheetData>
  <mergeCells count="19">
    <mergeCell ref="A1:E3"/>
    <mergeCell ref="C6:E6"/>
    <mergeCell ref="C7:E7"/>
    <mergeCell ref="C8:E8"/>
    <mergeCell ref="A5:E5"/>
    <mergeCell ref="D32:E32"/>
    <mergeCell ref="C9:E9"/>
    <mergeCell ref="C10:E10"/>
    <mergeCell ref="C11:E11"/>
    <mergeCell ref="C12:E12"/>
    <mergeCell ref="C13:E13"/>
    <mergeCell ref="C14:E14"/>
    <mergeCell ref="A17:E17"/>
    <mergeCell ref="A26:E26"/>
    <mergeCell ref="D27:E27"/>
    <mergeCell ref="D28:E28"/>
    <mergeCell ref="D29:E29"/>
    <mergeCell ref="D30:E30"/>
    <mergeCell ref="D31:E3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B96AD-0007-4DC4-A7A1-1A92AAA06FCE}">
  <dimension ref="A1:O6"/>
  <sheetViews>
    <sheetView tabSelected="1" zoomScale="84" workbookViewId="0">
      <selection activeCell="Z15" sqref="Z15"/>
    </sheetView>
  </sheetViews>
  <sheetFormatPr defaultRowHeight="14.4" x14ac:dyDescent="0.3"/>
  <cols>
    <col min="1" max="1" width="8.88671875" style="27" customWidth="1"/>
    <col min="2" max="16384" width="8.88671875" style="27"/>
  </cols>
  <sheetData>
    <row r="1" spans="1:15" ht="28.8" customHeight="1" x14ac:dyDescent="0.3">
      <c r="A1" s="45" t="s">
        <v>64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</row>
    <row r="2" spans="1:15" ht="14.4" customHeight="1" x14ac:dyDescent="0.3">
      <c r="A2" s="45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</row>
    <row r="4" spans="1:15" ht="24.6" customHeight="1" x14ac:dyDescent="0.3">
      <c r="A4" s="46" t="s">
        <v>65</v>
      </c>
      <c r="B4" s="46"/>
      <c r="C4" s="46"/>
      <c r="E4" s="49" t="s">
        <v>66</v>
      </c>
      <c r="F4" s="50"/>
      <c r="G4" s="50"/>
      <c r="I4" s="53" t="s">
        <v>67</v>
      </c>
      <c r="J4" s="50"/>
      <c r="K4" s="50"/>
      <c r="M4" s="57" t="s">
        <v>68</v>
      </c>
      <c r="N4" s="50"/>
      <c r="O4" s="50"/>
    </row>
    <row r="5" spans="1:15" ht="31.8" customHeight="1" x14ac:dyDescent="0.3">
      <c r="A5" s="47">
        <f>COUNTA('Raw Data'!A5:A39)</f>
        <v>35</v>
      </c>
      <c r="B5" s="47"/>
      <c r="C5" s="47"/>
      <c r="E5" s="51">
        <f>AVERAGE('Raw Data'!E5:E39)</f>
        <v>2059147.142857143</v>
      </c>
      <c r="F5" s="50"/>
      <c r="G5" s="50"/>
      <c r="I5" s="54">
        <f>MAX('Raw Data'!E5:E39)</f>
        <v>10000000</v>
      </c>
      <c r="J5" s="55"/>
      <c r="K5" s="55"/>
      <c r="M5" s="58" t="str">
        <f>AVERAGE('Raw Data'!B5:B39)&amp;"Years"</f>
        <v>9.2Years</v>
      </c>
      <c r="N5" s="58"/>
      <c r="O5" s="58"/>
    </row>
    <row r="6" spans="1:15" ht="27.6" customHeight="1" x14ac:dyDescent="0.3">
      <c r="A6" s="48"/>
      <c r="B6" s="48"/>
      <c r="C6" s="48"/>
      <c r="E6" s="52"/>
      <c r="F6" s="50"/>
      <c r="G6" s="50"/>
      <c r="I6" s="56"/>
      <c r="J6" s="50"/>
      <c r="K6" s="50"/>
      <c r="M6" s="59"/>
      <c r="N6" s="50"/>
      <c r="O6" s="50"/>
    </row>
  </sheetData>
  <mergeCells count="13">
    <mergeCell ref="A1:O2"/>
    <mergeCell ref="A4:C4"/>
    <mergeCell ref="A5:C5"/>
    <mergeCell ref="A6:C6"/>
    <mergeCell ref="E4:G4"/>
    <mergeCell ref="E5:G5"/>
    <mergeCell ref="E6:G6"/>
    <mergeCell ref="I4:K4"/>
    <mergeCell ref="I5:K5"/>
    <mergeCell ref="I6:K6"/>
    <mergeCell ref="M4:O4"/>
    <mergeCell ref="M5:O5"/>
    <mergeCell ref="M6:O6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Data</vt:lpstr>
      <vt:lpstr>Data Cleaning</vt:lpstr>
      <vt:lpstr>Analysis</vt:lpstr>
      <vt:lpstr>Dashboard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kareem mohamed</cp:lastModifiedBy>
  <cp:revision/>
  <dcterms:created xsi:type="dcterms:W3CDTF">2026-03-09T12:00:58Z</dcterms:created>
  <dcterms:modified xsi:type="dcterms:W3CDTF">2026-03-09T21:47:34Z</dcterms:modified>
  <cp:category/>
  <cp:contentStatus/>
</cp:coreProperties>
</file>